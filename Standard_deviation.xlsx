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968966a29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 Deviation Lab" sheetId="1" r:id="Rae61365ccdbd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2" fillId="3" borderId="0" xfId="0" applyNumberFormat="1" applyFont="1" applyFill="1" applyBorder="1"/>
    <x:xf numFmtId="200" fontId="0" fillId="0" borderId="1" xfId="0" applyNumberFormat="1" applyFont="1" applyFill="1" applyBorder="1"/>
    <x:xf numFmtId="200" fontId="2" fillId="3" borderId="1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14ae3de4a42af" /><Relationship Type="http://schemas.openxmlformats.org/officeDocument/2006/relationships/theme" Target="/xl/theme/theme1.xml" Id="R40f67d1c79d64b6f" /><Relationship Type="http://schemas.openxmlformats.org/officeDocument/2006/relationships/sharedStrings" Target="/xl/sharedStrings.xml" Id="R49deb14e9b274333" /><Relationship Type="http://schemas.openxmlformats.org/officeDocument/2006/relationships/worksheet" Target="/xl/worksheets/sheet1.xml" Id="Rae61365ccdbd45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32" hidden="0" customWidth="1"/>
    <x:col min="5" max="5" width="4" hidden="0" customWidth="1"/>
    <x:col min="6" max="6" width="25" hidden="0" customWidth="1"/>
    <x:col min="7" max="7" width="18" hidden="0" customWidth="1"/>
  </x:cols>
  <x:sheetData>
    <x:row r="1" ht="27" customHeight="1">
      <x:c r="A1" s="3" t="str">
        <x:v>Books (X)</x:v>
      </x:c>
      <x:c r="B1" s="3" t="str">
        <x:v>X - Mean</x:v>
      </x:c>
      <x:c r="C1" s="3" t="str">
        <x:v>(X - Mean)^2</x:v>
      </x:c>
      <x:c r="D1" s="3" t="str">
        <x:v>Explanation</x:v>
      </x:c>
      <x:c r="F1" s="3" t="str">
        <x:v>Calculation</x:v>
      </x:c>
      <x:c r="G1" s="3" t="str">
        <x:v>Result</x:v>
      </x:c>
    </x:row>
    <x:row r="2">
      <x:c r="A2" t="n">
        <x:v>1</x:v>
      </x:c>
      <x:c r="B2" t="n">
        <x:f>A2-$G$2</x:f>
        <x:v>-4.375</x:v>
      </x:c>
      <x:c r="C2" t="n">
        <x:f>B2^2</x:f>
        <x:v>19.140625</x:v>
      </x:c>
      <x:c r="D2" t="str">
        <x:v>Subtract mean, then square</x:v>
      </x:c>
      <x:c r="F2" t="str">
        <x:v>Mean</x:v>
      </x:c>
      <x:c r="G2" s="10" t="n">
        <x:f>AVERAGE(A2:A9)</x:f>
        <x:v>5.375</x:v>
      </x:c>
    </x:row>
    <x:row r="3">
      <x:c r="A3" t="n">
        <x:v>3</x:v>
      </x:c>
      <x:c r="B3" t="n">
        <x:f>A3-$G$2</x:f>
        <x:v>-2.375</x:v>
      </x:c>
      <x:c r="C3" t="n">
        <x:f>B3^2</x:f>
        <x:v>5.640625</x:v>
      </x:c>
      <x:c r="D3" t="str">
        <x:v>Subtract mean, then square</x:v>
      </x:c>
      <x:c r="F3" t="str">
        <x:v>Sum of squares</x:v>
      </x:c>
      <x:c r="G3" s="10" t="n">
        <x:f>SUM(C2:C9)</x:f>
        <x:v>49.875</x:v>
      </x:c>
    </x:row>
    <x:row r="4">
      <x:c r="A4" t="n">
        <x:v>4</x:v>
      </x:c>
      <x:c r="B4" t="n">
        <x:f>A4-$G$2</x:f>
        <x:v>-1.375</x:v>
      </x:c>
      <x:c r="C4" t="n">
        <x:f>B4^2</x:f>
        <x:v>1.890625</x:v>
      </x:c>
      <x:c r="D4" t="str">
        <x:v>Subtract mean, then square</x:v>
      </x:c>
      <x:c r="F4" t="str">
        <x:v>Population variance</x:v>
      </x:c>
      <x:c r="G4" s="10" t="n">
        <x:f>G3/COUNT(A2:A9)</x:f>
        <x:v>6.234375</x:v>
      </x:c>
    </x:row>
    <x:row r="5">
      <x:c r="A5" t="n">
        <x:v>5</x:v>
      </x:c>
      <x:c r="B5" t="n">
        <x:f>A5-$G$2</x:f>
        <x:v>-0.375</x:v>
      </x:c>
      <x:c r="C5" t="n">
        <x:f>B5^2</x:f>
        <x:v>0.140625</x:v>
      </x:c>
      <x:c r="D5" t="str">
        <x:v>Subtract mean, then square</x:v>
      </x:c>
      <x:c r="F5" t="str">
        <x:v>Standard deviation</x:v>
      </x:c>
      <x:c r="G5" s="11" t="n">
        <x:f>SQRT(G4)</x:f>
        <x:v>2.496873044429772</x:v>
      </x:c>
    </x:row>
    <x:row r="6">
      <x:c r="A6" t="n">
        <x:v>6</x:v>
      </x:c>
      <x:c r="B6" t="n">
        <x:f>A6-$G$2</x:f>
        <x:v>0.625</x:v>
      </x:c>
      <x:c r="C6" t="n">
        <x:f>B6^2</x:f>
        <x:v>0.390625</x:v>
      </x:c>
      <x:c r="D6" t="str">
        <x:v>Subtract mean, then square</x:v>
      </x:c>
      <x:c r="F6" t="str">
        <x:v>Excel direct check</x:v>
      </x:c>
      <x:c r="G6" s="10" t="n">
        <x:f>_xlfn.STDEV.P(A2:A9)</x:f>
        <x:v>2.496873044429772</x:v>
      </x:c>
    </x:row>
    <x:row r="7">
      <x:c r="A7" t="n">
        <x:v>7</x:v>
      </x:c>
      <x:c r="B7" t="n">
        <x:f>A7-$G$2</x:f>
        <x:v>1.625</x:v>
      </x:c>
      <x:c r="C7" t="n">
        <x:f>B7^2</x:f>
        <x:v>2.640625</x:v>
      </x:c>
      <x:c r="D7" t="str">
        <x:v>Subtract mean, then square</x:v>
      </x:c>
    </x:row>
    <x:row r="8">
      <x:c r="A8" t="n">
        <x:v>8</x:v>
      </x:c>
      <x:c r="B8" t="n">
        <x:f>A8-$G$2</x:f>
        <x:v>2.625</x:v>
      </x:c>
      <x:c r="C8" t="n">
        <x:f>B8^2</x:f>
        <x:v>6.890625</x:v>
      </x:c>
      <x:c r="D8" t="str">
        <x:v>Subtract mean, then square</x:v>
      </x:c>
    </x:row>
    <x:row r="9">
      <x:c r="A9" t="n">
        <x:v>9</x:v>
      </x:c>
      <x:c r="B9" t="n">
        <x:f>A9-$G$2</x:f>
        <x:v>3.625</x:v>
      </x:c>
      <x:c r="C9" t="n">
        <x:f>B9^2</x:f>
        <x:v>13.140625</x:v>
      </x:c>
      <x:c r="D9" t="str">
        <x:v>Subtract mean, then square</x:v>
      </x:c>
    </x:row>
    <x:row r="11">
      <x:c r="A11" s="14" t="str">
        <x:v>Conclusion: standard deviation = 2.50 books; mean = 5.375 books.</x:v>
      </x:c>
    </x:row>
  </x:sheetData>
  <x:mergeCells>
    <x:mergeCell ref="A11:G11"/>
  </x:mergeCells>
  <x:pageMargins left="0.7" right="0.7" top="0.75" bottom="0.75" header="0.3" footer="0.3"/>
</x:worksheet>
</file>